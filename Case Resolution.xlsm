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renji\Downloads\"/>
    </mc:Choice>
  </mc:AlternateContent>
  <xr:revisionPtr revIDLastSave="0" documentId="13_ncr:1_{3086ED48-A1F9-4785-AF1E-CF8F290FAFE9}" xr6:coauthVersionLast="47" xr6:coauthVersionMax="47" xr10:uidLastSave="{00000000-0000-0000-0000-000000000000}"/>
  <bookViews>
    <workbookView xWindow="-108" yWindow="-108" windowWidth="23256" windowHeight="13176" xr2:uid="{618E2AA2-1CB1-4F02-BCB7-C53B5F32D6E3}"/>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6" i="1" l="1"/>
  <c r="A36" i="1"/>
  <c r="A37" i="1"/>
  <c r="A14" i="1"/>
  <c r="A44" i="1"/>
  <c r="A43" i="1"/>
  <c r="A42" i="1"/>
  <c r="A41" i="1"/>
  <c r="A40" i="1"/>
  <c r="A18" i="1"/>
  <c r="A39" i="1"/>
  <c r="A38" i="1"/>
  <c r="A25" i="1"/>
  <c r="A16" i="1"/>
  <c r="A19" i="1"/>
  <c r="A17" i="1"/>
  <c r="A26" i="1"/>
  <c r="A24" i="1"/>
  <c r="A23" i="1"/>
  <c r="A22" i="1"/>
  <c r="A21" i="1"/>
  <c r="A20" i="1"/>
  <c r="A1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8316D2-06FA-4EF8-A3AB-9E131F93ED3D}" keepAlive="1" name="Query - Page001" description="Connection to the 'Page001' query in the workbook." type="5" refreshedVersion="0" background="1">
    <dbPr connection="Provider=Microsoft.Mashup.OleDb.1;Data Source=$Workbook$;Location=Page001;Extended Properties=&quot;&quot;" command="SELECT * FROM [Page001]"/>
  </connection>
  <connection id="2" xr16:uid="{1AB86F94-3555-412E-B058-A0CFDBF6D11D}" keepAlive="1" name="Query - Page002" description="Connection to the 'Page002' query in the workbook." type="5" refreshedVersion="8" background="1" saveData="1">
    <dbPr connection="Provider=Microsoft.Mashup.OleDb.1;Data Source=$Workbook$;Location=Page002;Extended Properties=&quot;&quot;" command="SELECT * FROM [Page002]"/>
  </connection>
  <connection id="3" xr16:uid="{4A54D043-3EA3-4D45-96AF-0A21AD84D26E}" keepAlive="1" name="Query - Page003" description="Connection to the 'Page003' query in the workbook." type="5" refreshedVersion="8" background="1" saveData="1">
    <dbPr connection="Provider=Microsoft.Mashup.OleDb.1;Data Source=$Workbook$;Location=Page003;Extended Properties=&quot;&quot;" command="SELECT * FROM [Page003]"/>
  </connection>
</connections>
</file>

<file path=xl/sharedStrings.xml><?xml version="1.0" encoding="utf-8"?>
<sst xmlns="http://schemas.openxmlformats.org/spreadsheetml/2006/main" count="45" uniqueCount="42">
  <si>
    <t>Your order confirmation number is # 1009429178 for PO # CE1167424 . Digital licenses should be available for use within 24 hours.</t>
  </si>
  <si>
    <t>Your sample confirmation number is # 2008012244 . Our goal is to ship your items as quickly as possible, which is currently about 7-10 business days. Shipping times can vary based on time of year and environmental factors. .The following items are on Back Order # 9780134683300,</t>
  </si>
  <si>
    <t>Your sample confirmation number is # 2008012244 . Our goal is to ship your items as quickly as possible, which is currently about 7-10 business days. Shipping times can vary based on time of year and environmental factors. </t>
  </si>
  <si>
    <r>
      <t>Your order confirmation number is # 2008012244 for PO #</t>
    </r>
    <r>
      <rPr>
        <sz val="11"/>
        <color theme="1"/>
        <rFont val="Calibri"/>
        <family val="2"/>
        <scheme val="minor"/>
      </rPr>
      <t xml:space="preserve"> </t>
    </r>
    <r>
      <rPr>
        <sz val="10.5"/>
        <color rgb="FF181818"/>
        <rFont val="Calibri"/>
        <family val="2"/>
        <scheme val="minor"/>
      </rPr>
      <t>SOSUALLE13035641 and will ship for 1 business day delivery. </t>
    </r>
  </si>
  <si>
    <t>Your order confirmation number is # 2008011948 for PO # SOSuyounk1_00306_4 and will ship for 2 business day delivery. </t>
  </si>
  <si>
    <r>
      <t>The following items are on </t>
    </r>
    <r>
      <rPr>
        <i/>
        <sz val="10.5"/>
        <color rgb="FF181818"/>
        <rFont val="Calibri"/>
        <family val="2"/>
        <scheme val="minor"/>
      </rPr>
      <t>Back Order</t>
    </r>
    <r>
      <rPr>
        <sz val="10.5"/>
        <color rgb="FF181818"/>
        <rFont val="Calibri"/>
        <family val="2"/>
        <scheme val="minor"/>
      </rPr>
      <t>. Please allow 7-10 business days from the time we receive stock back into the warehouse for items to arrive ISBN # 9780132962377  . Expected in our warehouse # 3/5/2023</t>
    </r>
  </si>
  <si>
    <t>Your order confirmation number are # 1009429178 for PO # CE1167424 . Digital licenses should be available for use within 24 hours.</t>
  </si>
  <si>
    <t>Your sample confirmation number are # 2008012244 . Our goal is to ship your items as quickly as possible, which is currently about 7-10 business days. Shipping times can vary based on time of year and environmental factors. </t>
  </si>
  <si>
    <t>Your sample confirmation number are # 2008012244 . Our goal is to ship your items as quickly as possible, which is currently about 7-10 business days. Shipping times can vary based on time of year and environmental factors. .The following items are on Back Order # 9780134683300,</t>
  </si>
  <si>
    <t>100032423432,3242324,43234234,342342334</t>
  </si>
  <si>
    <t>2342342342</t>
  </si>
  <si>
    <t>2342342,2342342</t>
  </si>
  <si>
    <t>20231817</t>
  </si>
  <si>
    <t>1009445184</t>
  </si>
  <si>
    <t xml:space="preserve">   9780134972206</t>
  </si>
  <si>
    <t>Your order confirmation number # 433242323 is for the purchase order  # 4332423234364</t>
  </si>
  <si>
    <t>521696</t>
  </si>
  <si>
    <t>2008036060</t>
  </si>
  <si>
    <t>SOSUVILLTO034331</t>
  </si>
  <si>
    <t>9780328947362,#9780328947379</t>
  </si>
  <si>
    <t>236488</t>
  </si>
  <si>
    <t>1009446663</t>
  </si>
  <si>
    <t>9781323219577</t>
  </si>
  <si>
    <t>2400059</t>
  </si>
  <si>
    <t>1009484368</t>
  </si>
  <si>
    <t>ytyt</t>
  </si>
  <si>
    <t>yiuyiuy</t>
  </si>
  <si>
    <t>kjkjhkjhk</t>
  </si>
  <si>
    <t>hgjhgjh</t>
  </si>
  <si>
    <t xml:space="preserve">Your price quote has been processed. Your price quote number is #  32224 . A copy of your price quote will arrive via email at the top of the next hour. (quotes are emailed from 9am-8pm est) The email will come from e-Invoices/Statements.com, be sure to check your SPAM email box. </t>
  </si>
  <si>
    <t>Your order confirmation number is # 1009424370 for PO # 232546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
  </si>
  <si>
    <t>Your order confirmation number is # 1009429021 for PO # 92305597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
  </si>
  <si>
    <t>Your order confirmation number is # 1009424370 for PO # 232546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The following items are on Back Order # 9780134683300 ,</t>
  </si>
  <si>
    <t>Your order confirmation number is # 1009429021 for PO # 92305597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9780134683300,</t>
  </si>
  <si>
    <t>Your order confirmation number is # 10094392323 for PO # asdscsaca . Your order is scheduled to be delivered after 12/23/2020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
  </si>
  <si>
    <t>Your Exhibit order confirmation number is # 2007979969 . All items are in stock and should arrive by date indicated on your request. You can check the status of your order by following the link provided in your tracking email to Oasis..com.</t>
  </si>
  <si>
    <t>Your order confirmation number are # 1009424370 for PO # 232546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
  </si>
  <si>
    <t>Your order confirmation number are # 1009429021 for PO # 92305597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
  </si>
  <si>
    <t>Your order confirmation number are # 1009424370 for PO # 232546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times.The following items are on Back Order # 9780134683300 ,</t>
  </si>
  <si>
    <t>Your order confirmation number are # 1009429021 for PO # 92305597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9780134683300,</t>
  </si>
  <si>
    <t>Your order confirmation number are # 10094392323 for PO # asdscsaca . Your order is scheduled to be delivered after 12/23/2020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
  </si>
  <si>
    <t xml:space="preserve">Your price quote has been processed. Your price quote number are # 32224 . A copy of your price quote will arrive via email at the top of the next hour. (quotes are emailed from 9am-8pm est) The email will come from e-Invoices/Statements@nice.com, be sure to check your SPAM email box.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</si>
</sst>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181818"/>
      <name val="Calibri"/>
      <family val="2"/>
      <scheme val="minor"/>
    </font>
    <font>
      <sz val="12"/>
      <color rgb="FF181818"/>
      <name val="Times New Roman"/>
      <family val="1"/>
    </font>
    <font>
      <sz val="10.5"/>
      <color rgb="FF181818"/>
      <name val="Calibri"/>
      <family val="2"/>
      <scheme val="minor"/>
    </font>
    <font>
      <i/>
      <sz val="10.5"/>
      <color rgb="FF181818"/>
      <name val="Calibri"/>
      <family val="2"/>
      <scheme val="minor"/>
    </font>
    <font>
      <sz val="8"/>
      <color rgb="FF181818"/>
      <name val="Segoe UI"/>
      <family val="2"/>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7">
    <xf numFmtId="0" fontId="0" fillId="0" borderId="0" xfId="0"/>
    <xf numFmtId="0" fontId="0" fillId="0" borderId="0" xfId="0" applyAlignment="1" applyProtection="1">
      <alignment wrapText="1"/>
      <protection locked="0"/>
    </xf>
    <xf numFmtId="0" fontId="0" fillId="0" borderId="0" xfId="0" applyProtection="1">
      <protection locked="0"/>
    </xf>
    <xf numFmtId="0" fontId="0" fillId="2" borderId="0" xfId="0" applyFill="1" applyAlignment="1" applyProtection="1">
      <alignment wrapText="1"/>
      <protection locked="0"/>
    </xf>
    <xf numFmtId="0" fontId="0" fillId="0" borderId="0" xfId="0" applyAlignment="1" applyProtection="1">
      <alignment vertical="center" wrapText="1"/>
      <protection locked="0"/>
    </xf>
    <xf numFmtId="0" fontId="3" fillId="0" borderId="0" xfId="0" applyFont="1" applyAlignment="1" applyProtection="1">
      <alignment wrapText="1"/>
      <protection locked="0"/>
    </xf>
    <xf numFmtId="0" fontId="3" fillId="0" borderId="0" xfId="0" applyFont="1" applyAlignment="1" applyProtection="1">
      <alignment vertical="center" wrapText="1"/>
      <protection locked="0"/>
    </xf>
    <xf numFmtId="0" fontId="1" fillId="0" borderId="0" xfId="0" applyFont="1" applyAlignment="1" applyProtection="1">
      <alignment vertical="center" wrapText="1"/>
      <protection locked="0"/>
    </xf>
    <xf numFmtId="0" fontId="2" fillId="0" borderId="0" xfId="0" applyFont="1" applyAlignment="1" applyProtection="1">
      <alignment vertical="center" wrapText="1"/>
      <protection locked="0"/>
    </xf>
    <xf numFmtId="49" fontId="0" fillId="0" borderId="0" xfId="0" applyNumberFormat="1" applyProtection="1">
      <protection locked="0"/>
    </xf>
    <xf numFmtId="3" fontId="0" fillId="0" borderId="0" xfId="0" applyNumberFormat="1" applyProtection="1">
      <protection locked="0"/>
    </xf>
    <xf numFmtId="0" fontId="0" fillId="3" borderId="0" xfId="0" applyFill="1" applyAlignment="1" applyProtection="1">
      <alignment wrapText="1"/>
      <protection hidden="1"/>
    </xf>
    <xf numFmtId="0" fontId="0" fillId="3" borderId="0" xfId="0" applyFill="1" applyAlignment="1" applyProtection="1">
      <alignment wrapText="1"/>
      <protection locked="0"/>
    </xf>
    <xf numFmtId="0" fontId="0" fillId="3" borderId="0" xfId="0" applyFill="1" applyProtection="1">
      <protection locked="0"/>
    </xf>
    <xf numFmtId="0" fontId="0" fillId="2" borderId="0" xfId="0" applyFill="1" applyProtection="1">
      <protection locked="0"/>
    </xf>
    <xf numFmtId="1" fontId="0" fillId="0" borderId="0" xfId="0" applyNumberForma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F0E7A-A1FF-43D8-8061-EA48A7C6729C}">
  <sheetPr codeName="Sheet1"/>
  <dimension ref="A1:D46"/>
  <sheetViews>
    <sheetView tabSelected="1" topLeftCell="A25" workbookViewId="0">
      <selection activeCell="C30" sqref="C30"/>
    </sheetView>
  </sheetViews>
  <sheetFormatPr defaultRowHeight="14.4" x14ac:dyDescent="0.3"/>
  <cols>
    <col min="1" max="1" width="151.109375" style="2" customWidth="1"/>
    <col min="2" max="2" width="13.6640625" style="2" customWidth="1"/>
    <col min="3" max="3" width="14.109375" style="2" customWidth="1"/>
    <col min="4" max="16384" width="8.88671875" style="2"/>
  </cols>
  <sheetData>
    <row r="1" spans="1:3" ht="57.6" x14ac:dyDescent="0.3">
      <c r="A1" s="1" t="s">
        <v>30</v>
      </c>
    </row>
    <row r="2" spans="1:3" ht="57.6" x14ac:dyDescent="0.3">
      <c r="A2" s="1" t="s">
        <v>31</v>
      </c>
    </row>
    <row r="3" spans="1:3" ht="28.8" x14ac:dyDescent="0.3">
      <c r="A3" s="1" t="s">
        <v>29</v>
      </c>
    </row>
    <row r="4" spans="1:3" ht="57.6" x14ac:dyDescent="0.3">
      <c r="A4" s="1" t="s">
        <v>32</v>
      </c>
    </row>
    <row r="5" spans="1:3" ht="57.6" x14ac:dyDescent="0.3">
      <c r="A5" s="3" t="s">
        <v>33</v>
      </c>
    </row>
    <row r="6" spans="1:3" ht="33.6" customHeight="1" x14ac:dyDescent="0.3">
      <c r="A6" s="4" t="s">
        <v>0</v>
      </c>
    </row>
    <row r="7" spans="1:3" ht="57.6" x14ac:dyDescent="0.3">
      <c r="A7" s="5" t="s">
        <v>34</v>
      </c>
    </row>
    <row r="8" spans="1:3" ht="28.8" x14ac:dyDescent="0.3">
      <c r="A8" s="6" t="s">
        <v>2</v>
      </c>
    </row>
    <row r="9" spans="1:3" ht="28.8" x14ac:dyDescent="0.3">
      <c r="A9" s="7" t="s">
        <v>1</v>
      </c>
    </row>
    <row r="10" spans="1:3" ht="41.4" customHeight="1" x14ac:dyDescent="0.3">
      <c r="A10" s="6" t="s">
        <v>3</v>
      </c>
    </row>
    <row r="11" spans="1:3" ht="39" customHeight="1" x14ac:dyDescent="0.3">
      <c r="A11" s="8" t="s">
        <v>4</v>
      </c>
    </row>
    <row r="12" spans="1:3" ht="28.8" x14ac:dyDescent="0.3">
      <c r="A12" s="6" t="s">
        <v>5</v>
      </c>
    </row>
    <row r="13" spans="1:3" ht="28.8" x14ac:dyDescent="0.3">
      <c r="A13" s="1" t="s">
        <v>35</v>
      </c>
    </row>
    <row r="14" spans="1:3" ht="57.6" x14ac:dyDescent="0.3">
      <c r="A14" s="11" t="str">
        <f>SUBSTITUTE(SUBSTITUTE(A1,"1009424370",B14),"232546",C14)</f>
        <v>Your order confirmation number is # 1009484368 for PO # 2400059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v>
      </c>
      <c r="B14" s="9" t="s">
        <v>24</v>
      </c>
      <c r="C14" s="9" t="s">
        <v>23</v>
      </c>
    </row>
    <row r="15" spans="1:3" ht="57.6" x14ac:dyDescent="0.3">
      <c r="A15" s="11" t="str">
        <f>SUBSTITUTE(SUBSTITUTE(A2,"1009429021",B15),"92305597",C15)</f>
        <v>Your order confirmation number is # yiuyiuy for PO # ytyt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v>
      </c>
      <c r="B15" s="9" t="s">
        <v>26</v>
      </c>
      <c r="C15" s="9" t="s">
        <v>25</v>
      </c>
    </row>
    <row r="16" spans="1:3" ht="28.8" x14ac:dyDescent="0.3">
      <c r="A16" s="11" t="str">
        <f>SUBSTITUTE(A3," 32224",B16)</f>
        <v xml:space="preserve">Your price quote has been processed. Your price quote number is # 521696 . A copy of your price quote will arrive via email at the top of the next hour. (quotes are emailed from 9am-8pm est) The email will come from e-Invoices/Statements.com, be sure to check your SPAM email box. </v>
      </c>
      <c r="B16" s="2" t="s">
        <v>16</v>
      </c>
    </row>
    <row r="17" spans="1:4" ht="57.6" x14ac:dyDescent="0.3">
      <c r="A17" s="11" t="str">
        <f>SUBSTITUTE(SUBSTITUTE(SUBSTITUTE(A4,"1009424370",B17),"232546",C17),"9780134683300",D17)</f>
        <v>Your order confirmation number is # 1009445184 for PO # 20231817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The following items are on Back Order #    9780134972206 ,</v>
      </c>
      <c r="B17" s="9" t="s">
        <v>13</v>
      </c>
      <c r="C17" s="9" t="s">
        <v>12</v>
      </c>
      <c r="D17" s="9" t="s">
        <v>14</v>
      </c>
    </row>
    <row r="18" spans="1:4" ht="57.6" x14ac:dyDescent="0.3">
      <c r="A18" s="11" t="str">
        <f>SUBSTITUTE(SUBSTITUTE(SUBSTITUTE(A5,"1009429021",B18),"92305597",C18),"9780134683300",D18)</f>
        <v>Your order confirmation number is # 1009446663 for PO # 236488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9781323219577,</v>
      </c>
      <c r="B18" s="9" t="s">
        <v>21</v>
      </c>
      <c r="C18" s="9" t="s">
        <v>20</v>
      </c>
      <c r="D18" s="9" t="s">
        <v>22</v>
      </c>
    </row>
    <row r="19" spans="1:4" ht="48" customHeight="1" x14ac:dyDescent="0.3">
      <c r="A19" s="11" t="str">
        <f>SUBSTITUTE(SUBSTITUTE(A6,"1009429178",B19),"CE1167424",C19)</f>
        <v>Your order confirmation number is # hgjhgjh for PO # kjkjhkjhk . Digital licenses should be available for use within 24 hours.</v>
      </c>
      <c r="B19" s="9" t="s">
        <v>28</v>
      </c>
      <c r="C19" s="9" t="s">
        <v>27</v>
      </c>
    </row>
    <row r="20" spans="1:4" ht="96.6" customHeight="1" x14ac:dyDescent="0.3">
      <c r="A20" s="11" t="str">
        <f>SUBSTITUTE(SUBSTITUTE(SUBSTITUTE(A7,"10094392323",B20),"asdscsaca",C20),"12/23/2020",D20)</f>
        <v>Your order confirmation number is # 2342342342 for PO #  . Your order is scheduled to be delivered after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v>
      </c>
      <c r="B20" s="9" t="s">
        <v>10</v>
      </c>
      <c r="C20" s="9"/>
      <c r="D20" s="10"/>
    </row>
    <row r="21" spans="1:4" ht="28.8" x14ac:dyDescent="0.3">
      <c r="A21" s="11" t="str">
        <f>SUBSTITUTE(A8,"2008012244",B21)</f>
        <v>Your sample confirmation number is # 2342342342 . Our goal is to ship your items as quickly as possible, which is currently about 7-10 business days. Shipping times can vary based on time of year and environmental factors. </v>
      </c>
      <c r="B21" s="9" t="s">
        <v>10</v>
      </c>
    </row>
    <row r="22" spans="1:4" ht="28.8" x14ac:dyDescent="0.3">
      <c r="A22" s="11" t="str">
        <f>SUBSTITUTE(SUBSTITUTE(A9,"2008012244",B22),"9780134683300",C22)</f>
        <v>Your sample confirmation number is # 2342342342 . Our goal is to ship your items as quickly as possible, which is currently about 7-10 business days. Shipping times can vary based on time of year and environmental factors. .The following items are on Back Order # 2342342,2342342,</v>
      </c>
      <c r="B22" s="9" t="s">
        <v>10</v>
      </c>
      <c r="C22" s="9" t="s">
        <v>11</v>
      </c>
    </row>
    <row r="23" spans="1:4" x14ac:dyDescent="0.3">
      <c r="A23" s="11" t="str">
        <f>SUBSTITUTE(SUBSTITUTE(A10,"2008012244",B23)," SOSUALLE13035641",C23)</f>
        <v>Your order confirmation number is # 2342342342 for PO # and will ship for 1 business day delivery. </v>
      </c>
      <c r="B23" s="9" t="s">
        <v>10</v>
      </c>
      <c r="C23" s="9"/>
    </row>
    <row r="24" spans="1:4" x14ac:dyDescent="0.3">
      <c r="A24" s="11" t="str">
        <f>SUBSTITUTE(SUBSTITUTE(A11,"2008011948",B24)," SOSuyounk1_00306_4",C24)</f>
        <v>Your order confirmation number is # 2008036060 for PO #SOSUVILLTO034331 and will ship for 2 business day delivery. </v>
      </c>
      <c r="B24" s="9" t="s">
        <v>17</v>
      </c>
      <c r="C24" s="9" t="s">
        <v>18</v>
      </c>
    </row>
    <row r="25" spans="1:4" ht="48" customHeight="1" x14ac:dyDescent="0.3">
      <c r="A25" s="11" t="str">
        <f>SUBSTITUTE(SUBSTITUTE(A12,"9780132962377",B25)," 3/5/2023",C25)</f>
        <v>The following items are on Back Order. Please allow 7-10 business days from the time we receive stock back into the warehouse for items to arrive ISBN # 9780328947362,#9780328947379  . Expected in our warehouse #</v>
      </c>
      <c r="B25" s="9" t="s">
        <v>19</v>
      </c>
      <c r="C25" s="10"/>
    </row>
    <row r="26" spans="1:4" ht="28.8" x14ac:dyDescent="0.3">
      <c r="A26" s="11" t="str">
        <f>SUBSTITUTE(A13,"2007979969",B26)</f>
        <v>Your Exhibit order confirmation number is # 100032423432,3242324,43234234,342342334 . All items are in stock and should arrive by date indicated on your request. You can check the status of your order by following the link provided in your tracking email to Oasis..com.</v>
      </c>
      <c r="B26" s="9" t="s">
        <v>9</v>
      </c>
      <c r="C26" s="9">
        <v>23423</v>
      </c>
    </row>
    <row r="27" spans="1:4" ht="57.6" x14ac:dyDescent="0.3">
      <c r="A27" s="1" t="s">
        <v>36</v>
      </c>
    </row>
    <row r="28" spans="1:4" ht="57.6" x14ac:dyDescent="0.3">
      <c r="A28" s="1" t="s">
        <v>37</v>
      </c>
    </row>
    <row r="29" spans="1:4" ht="28.8" x14ac:dyDescent="0.3">
      <c r="A29" s="1" t="s">
        <v>41</v>
      </c>
    </row>
    <row r="30" spans="1:4" ht="57.6" x14ac:dyDescent="0.3">
      <c r="A30" s="1" t="s">
        <v>38</v>
      </c>
    </row>
    <row r="31" spans="1:4" ht="72" x14ac:dyDescent="0.3">
      <c r="A31" s="3" t="s">
        <v>39</v>
      </c>
    </row>
    <row r="32" spans="1:4" x14ac:dyDescent="0.3">
      <c r="A32" s="4" t="s">
        <v>6</v>
      </c>
    </row>
    <row r="33" spans="1:3" ht="57.6" x14ac:dyDescent="0.3">
      <c r="A33" s="5" t="s">
        <v>40</v>
      </c>
    </row>
    <row r="34" spans="1:3" ht="28.8" x14ac:dyDescent="0.3">
      <c r="A34" s="6" t="s">
        <v>7</v>
      </c>
    </row>
    <row r="35" spans="1:3" ht="28.8" x14ac:dyDescent="0.3">
      <c r="A35" s="7" t="s">
        <v>8</v>
      </c>
    </row>
    <row r="36" spans="1:3" ht="58.8" customHeight="1" x14ac:dyDescent="0.3">
      <c r="A36" s="12" t="str">
        <f>SUBSTITUTE(SUBSTITUTE(A27,"1009424370",B14),"232546",C14)</f>
        <v>Your order confirmation number are # 1009484368 for PO # 2400059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v>
      </c>
    </row>
    <row r="37" spans="1:3" ht="58.8" customHeight="1" x14ac:dyDescent="0.3">
      <c r="A37" s="12" t="str">
        <f>SUBSTITUTE(SUBSTITUTE(A28,"1009429021",B15)," 92305597",C15)</f>
        <v>Your order confirmation number are # yiuyiuy for PO #ytyt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v>
      </c>
    </row>
    <row r="38" spans="1:3" ht="54.6" customHeight="1" x14ac:dyDescent="0.3">
      <c r="A38" s="12" t="str">
        <f>SUBSTITUTE(A29," 32224",B16)</f>
        <v xml:space="preserve">Your price quote has been processed. Your price quote number are #521696 . A copy of your price quote will arrive via email at the top of the next hour. (quotes are emailed from 9am-8pm est) The email will come from e-Invoices/Statements@nice.com, be sure to check your SPAM email box. </v>
      </c>
    </row>
    <row r="39" spans="1:3" ht="54.6" customHeight="1" x14ac:dyDescent="0.3">
      <c r="A39" s="12" t="str">
        <f>SUBSTITUTE(SUBSTITUTE(SUBSTITUTE(A30,"1009424370",B17),"232546",C17),"9780134683300",D17)</f>
        <v>Your order confirmation number are # 1009445184 for PO # 20231817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times.The following items are on Back Order #    9780134972206 ,</v>
      </c>
    </row>
    <row r="40" spans="1:3" ht="54.6" customHeight="1" x14ac:dyDescent="0.3">
      <c r="A40" s="12" t="str">
        <f>SUBSTITUTE(SUBSTITUTE(SUBSTITUTE(A31,"1009429021",B18),"92305597",C18),"9780134683300",D18)</f>
        <v>Your order confirmation number are # 1009446663 for PO # 236488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9781323219577,</v>
      </c>
    </row>
    <row r="41" spans="1:3" ht="54.6" customHeight="1" x14ac:dyDescent="0.3">
      <c r="A41" s="13" t="str">
        <f>SUBSTITUTE(SUBSTITUTE(A32,"1009429178",B19),"CE1167424",C19)</f>
        <v>Your order confirmation number are # hgjhgjh for PO # kjkjhkjhk . Digital licenses should be available for use within 24 hours.</v>
      </c>
    </row>
    <row r="42" spans="1:3" ht="54.6" customHeight="1" x14ac:dyDescent="0.3">
      <c r="A42" s="12" t="str">
        <f>SUBSTITUTE(SUBSTITUTE(SUBSTITUTE(A33,"10094392323",B20),"asdscsaca",C20),"12/23/2020",D20)</f>
        <v>Your order confirmation number are # 2342342342 for PO #  . Your order is scheduled to be delivered after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Oasis..com to check the status of your order. Physical goods may still display the status "Being Packed" while we work on your order in accordance with the current delivery times.</v>
      </c>
    </row>
    <row r="43" spans="1:3" ht="54.6" customHeight="1" x14ac:dyDescent="0.3">
      <c r="A43" s="12" t="str">
        <f>SUBSTITUTE(A34,"2008012244",B21)</f>
        <v>Your sample confirmation number are # 2342342342 . Our goal is to ship your items as quickly as possible, which is currently about 7-10 business days. Shipping times can vary based on time of year and environmental factors. </v>
      </c>
    </row>
    <row r="44" spans="1:3" ht="54.6" customHeight="1" x14ac:dyDescent="0.3">
      <c r="A44" s="12" t="str">
        <f>SUBSTITUTE(SUBSTITUTE(A35,"2008012244",B22),"9780134683300",C22)</f>
        <v>Your sample confirmation number are # 2342342342 . Our goal is to ship your items as quickly as possible, which is currently about 7-10 business days. Shipping times can vary based on time of year and environmental factors. .The following items are on Back Order # 2342342,2342342,</v>
      </c>
    </row>
    <row r="45" spans="1:3" ht="44.4" customHeight="1" x14ac:dyDescent="0.3">
      <c r="A45" s="14" t="s">
        <v>15</v>
      </c>
      <c r="B45" s="2">
        <v>325235436</v>
      </c>
      <c r="C45" s="2">
        <v>32342</v>
      </c>
    </row>
    <row r="46" spans="1:3" ht="46.2" customHeight="1" x14ac:dyDescent="0.3">
      <c r="A46" s="2" t="str">
        <f>SUBSTITUTE(SUBSTITUTE(A45,"433242323",B45),"4332423234364",C45)</f>
        <v>Your order confirmation number # 325235436 is for the purchase order  # 3252354364364</v>
      </c>
    </row>
  </sheetData>
  <pageMargins left="0.7" right="0.7" top="0.75" bottom="0.75" header="0.3" footer="0.3"/>
  <pageSetup orientation="portrait" horizontalDpi="90" verticalDpi="90" r:id="rId1"/>
  <ignoredErrors>
    <ignoredError sqref="A15 A25"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82CD2-6608-48B0-AC20-B413A26D2B4D}">
  <sheetPr codeName="Sheet2"/>
  <dimension ref="A1:A20"/>
  <sheetViews>
    <sheetView topLeftCell="A16" workbookViewId="0">
      <selection activeCell="A43" sqref="A18:A43"/>
    </sheetView>
  </sheetViews>
  <sheetFormatPr defaultRowHeight="14.4" x14ac:dyDescent="0.3"/>
  <cols>
    <col min="1" max="1" width="22.88671875" customWidth="1"/>
  </cols>
  <sheetData>
    <row r="1" spans="1:1" x14ac:dyDescent="0.3">
      <c r="A1" s="15"/>
    </row>
    <row r="2" spans="1:1" x14ac:dyDescent="0.3">
      <c r="A2" s="16"/>
    </row>
    <row r="3" spans="1:1" x14ac:dyDescent="0.3">
      <c r="A3" s="16"/>
    </row>
    <row r="4" spans="1:1" x14ac:dyDescent="0.3">
      <c r="A4" s="16"/>
    </row>
    <row r="5" spans="1:1" x14ac:dyDescent="0.3">
      <c r="A5" s="16"/>
    </row>
    <row r="6" spans="1:1" x14ac:dyDescent="0.3">
      <c r="A6" s="16"/>
    </row>
    <row r="7" spans="1:1" x14ac:dyDescent="0.3">
      <c r="A7" s="16"/>
    </row>
    <row r="8" spans="1:1" x14ac:dyDescent="0.3">
      <c r="A8" s="16"/>
    </row>
    <row r="9" spans="1:1" x14ac:dyDescent="0.3">
      <c r="A9" s="16"/>
    </row>
    <row r="10" spans="1:1" x14ac:dyDescent="0.3">
      <c r="A10" s="16"/>
    </row>
    <row r="11" spans="1:1" x14ac:dyDescent="0.3">
      <c r="A11" s="16"/>
    </row>
    <row r="12" spans="1:1" x14ac:dyDescent="0.3">
      <c r="A12" s="16"/>
    </row>
    <row r="13" spans="1:1" x14ac:dyDescent="0.3">
      <c r="A13" s="16"/>
    </row>
    <row r="14" spans="1:1" x14ac:dyDescent="0.3">
      <c r="A14" s="16"/>
    </row>
    <row r="15" spans="1:1" x14ac:dyDescent="0.3">
      <c r="A15" s="16"/>
    </row>
    <row r="16" spans="1:1" x14ac:dyDescent="0.3">
      <c r="A16" s="16"/>
    </row>
    <row r="17" spans="1:1" x14ac:dyDescent="0.3">
      <c r="A17" s="16"/>
    </row>
    <row r="18" spans="1:1" x14ac:dyDescent="0.3">
      <c r="A18" s="16"/>
    </row>
    <row r="19" spans="1:1" x14ac:dyDescent="0.3">
      <c r="A19" s="16"/>
    </row>
    <row r="20" spans="1:1" x14ac:dyDescent="0.3">
      <c r="A20" s="16"/>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5C4731-11FB-4B15-BBE9-9052175B60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Renji Thomas</dc:creator>
  <cp:lastModifiedBy>Renji Thomas</cp:lastModifiedBy>
  <dcterms:created xsi:type="dcterms:W3CDTF">2023-03-19T08:53:19Z</dcterms:created>
  <dcterms:modified xsi:type="dcterms:W3CDTF">2023-07-06T08:43:32Z</dcterms:modified>
</cp:coreProperties>
</file>